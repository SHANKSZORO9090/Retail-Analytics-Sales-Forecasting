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UNLOX\Drive Submission\"/>
    </mc:Choice>
  </mc:AlternateContent>
  <xr:revisionPtr revIDLastSave="0" documentId="8_{DEA96125-81B9-4FE2-AA7A-8F768DC8B23A}" xr6:coauthVersionLast="47" xr6:coauthVersionMax="47" xr10:uidLastSave="{00000000-0000-0000-0000-000000000000}"/>
  <bookViews>
    <workbookView xWindow="-120" yWindow="-120" windowWidth="29040" windowHeight="16440" xr2:uid="{319F9335-28FD-4D8B-9C96-6609DD64A50D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C2" i="1"/>
  <c r="A2" i="1"/>
  <c r="E2" i="1" s="1"/>
</calcChain>
</file>

<file path=xl/sharedStrings.xml><?xml version="1.0" encoding="utf-8"?>
<sst xmlns="http://schemas.openxmlformats.org/spreadsheetml/2006/main" count="4" uniqueCount="4">
  <si>
    <t>Total Revenue</t>
  </si>
  <si>
    <t>Total Units Sold</t>
  </si>
  <si>
    <t>Avg Revenue / Store</t>
  </si>
  <si>
    <t>Number of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</si>
</sst>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##,##0"/>
    <numFmt numFmtId="165" formatCode="\₹#,##0.00,&quot;K&quot;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b/>
      <sz val="26"/>
      <color theme="1"/>
      <name val="Aptos Display"/>
      <family val="2"/>
    </font>
    <font>
      <sz val="26"/>
      <color theme="1"/>
      <name val="Aptos Display"/>
      <family val="2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400" baseline="0"/>
              <a:t>Top Performing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70C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70C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70C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STR_106</c:v>
              </c:pt>
              <c:pt idx="1">
                <c:v>STR_108</c:v>
              </c:pt>
              <c:pt idx="2">
                <c:v>STR_107</c:v>
              </c:pt>
              <c:pt idx="3">
                <c:v>STR_105</c:v>
              </c:pt>
              <c:pt idx="4">
                <c:v>STR_104</c:v>
              </c:pt>
              <c:pt idx="5">
                <c:v>STR_101</c:v>
              </c:pt>
              <c:pt idx="6">
                <c:v>STR_102</c:v>
              </c:pt>
              <c:pt idx="7">
                <c:v>STR_103</c:v>
              </c:pt>
            </c:strLit>
          </c:cat>
          <c:val>
            <c:numLit>
              <c:formatCode>General</c:formatCode>
              <c:ptCount val="8"/>
              <c:pt idx="0">
                <c:v>5040776297.4475107</c:v>
              </c:pt>
              <c:pt idx="1">
                <c:v>5078321969.499506</c:v>
              </c:pt>
              <c:pt idx="2">
                <c:v>5107832301.6924829</c:v>
              </c:pt>
              <c:pt idx="3">
                <c:v>5161898681.8730164</c:v>
              </c:pt>
              <c:pt idx="4">
                <c:v>5165937477.715498</c:v>
              </c:pt>
              <c:pt idx="5">
                <c:v>5169675266.876996</c:v>
              </c:pt>
              <c:pt idx="6">
                <c:v>5186276605.8399639</c:v>
              </c:pt>
              <c:pt idx="7">
                <c:v>5223064263.8039742</c:v>
              </c:pt>
            </c:numLit>
          </c:val>
          <c:extLst>
            <c:ext xmlns:c16="http://schemas.microsoft.com/office/drawing/2014/chart" uri="{C3380CC4-5D6E-409C-BE32-E72D297353CC}">
              <c16:uniqueId val="{00000000-5A95-49FF-9368-73930B528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0907760"/>
        <c:axId val="1840903920"/>
      </c:barChart>
      <c:catAx>
        <c:axId val="184090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0070C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40903920"/>
        <c:crosses val="autoZero"/>
        <c:auto val="1"/>
        <c:lblAlgn val="ctr"/>
        <c:lblOffset val="100"/>
        <c:noMultiLvlLbl val="0"/>
      </c:catAx>
      <c:valAx>
        <c:axId val="184090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0070C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409077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0070C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aseline="0">
          <a:solidFill>
            <a:srgbClr val="0070C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baseline="0">
                <a:latin typeface="Aptos Display" panose="020B0004020202020204" pitchFamily="34" charset="0"/>
              </a:rPr>
              <a:t>Revenue by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9F-4114-AB70-9BBF692924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9F-4114-AB70-9BBF692924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9F-4114-AB70-9BBF692924D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[1]Store_Analysis!$A$16:$A$18</c:f>
              <c:strCache>
                <c:ptCount val="3"/>
                <c:pt idx="0">
                  <c:v>High Performer</c:v>
                </c:pt>
                <c:pt idx="1">
                  <c:v>Medium Performer</c:v>
                </c:pt>
                <c:pt idx="2">
                  <c:v>Low Perfomer</c:v>
                </c:pt>
              </c:strCache>
            </c:strRef>
          </c:cat>
          <c:val>
            <c:numRef>
              <c:f>[1]Store_Analysis!$B$16:$B$18</c:f>
              <c:numCache>
                <c:formatCode>[$₹-4009]\ #,##0.00</c:formatCode>
                <c:ptCount val="3"/>
                <c:pt idx="0">
                  <c:v>15521889350.432459</c:v>
                </c:pt>
                <c:pt idx="1">
                  <c:v>15435668461.280998</c:v>
                </c:pt>
                <c:pt idx="2">
                  <c:v>10119098266.947018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9F-4114-AB70-9BBF692924D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400" baseline="0">
                <a:solidFill>
                  <a:srgbClr val="0070C0"/>
                </a:solidFill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Electronics</c:v>
              </c:pt>
              <c:pt idx="1">
                <c:v>Fashion</c:v>
              </c:pt>
              <c:pt idx="2">
                <c:v>Groceries</c:v>
              </c:pt>
              <c:pt idx="3">
                <c:v>Home Appliances</c:v>
              </c:pt>
              <c:pt idx="4">
                <c:v>Sports</c:v>
              </c:pt>
            </c:strLit>
          </c:cat>
          <c:val>
            <c:numLit>
              <c:formatCode>General</c:formatCode>
              <c:ptCount val="5"/>
              <c:pt idx="0">
                <c:v>8318538868.8235035</c:v>
              </c:pt>
              <c:pt idx="1">
                <c:v>8215645302.623476</c:v>
              </c:pt>
              <c:pt idx="2">
                <c:v>8170528429.8604898</c:v>
              </c:pt>
              <c:pt idx="3">
                <c:v>8262751183.9590073</c:v>
              </c:pt>
              <c:pt idx="4">
                <c:v>8166319079.4825277</c:v>
              </c:pt>
            </c:numLit>
          </c:val>
          <c:extLst>
            <c:ext xmlns:c16="http://schemas.microsoft.com/office/drawing/2014/chart" uri="{C3380CC4-5D6E-409C-BE32-E72D297353CC}">
              <c16:uniqueId val="{00000000-F9BD-44D0-AB79-41F2FB2A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725920"/>
        <c:axId val="234726400"/>
      </c:barChart>
      <c:catAx>
        <c:axId val="23472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0070C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34726400"/>
        <c:crosses val="autoZero"/>
        <c:auto val="1"/>
        <c:lblAlgn val="ctr"/>
        <c:lblOffset val="100"/>
        <c:noMultiLvlLbl val="0"/>
      </c:catAx>
      <c:valAx>
        <c:axId val="23472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0070C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3472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aseline="0"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50" b="0" i="0" u="none" strike="noStrike" kern="1200" spc="0" baseline="0">
                <a:solidFill>
                  <a:srgbClr val="0070C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450" baseline="0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0" i="0" u="none" strike="noStrike" kern="1200" spc="0" baseline="0">
              <a:solidFill>
                <a:srgbClr val="0070C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2023 Jan</c:v>
              </c:pt>
              <c:pt idx="1">
                <c:v>2023 Feb</c:v>
              </c:pt>
              <c:pt idx="2">
                <c:v>2023 Mar</c:v>
              </c:pt>
              <c:pt idx="3">
                <c:v>2023 Apr</c:v>
              </c:pt>
              <c:pt idx="4">
                <c:v>2023 May</c:v>
              </c:pt>
              <c:pt idx="5">
                <c:v>2023 Jun</c:v>
              </c:pt>
              <c:pt idx="6">
                <c:v>2023 Jul</c:v>
              </c:pt>
              <c:pt idx="7">
                <c:v>2023 Aug</c:v>
              </c:pt>
              <c:pt idx="8">
                <c:v>2023 Sep</c:v>
              </c:pt>
              <c:pt idx="9">
                <c:v>2023 Oct</c:v>
              </c:pt>
              <c:pt idx="10">
                <c:v>2023 Nov</c:v>
              </c:pt>
              <c:pt idx="11">
                <c:v>2023 Dec</c:v>
              </c:pt>
              <c:pt idx="12">
                <c:v>2024 Jan</c:v>
              </c:pt>
              <c:pt idx="13">
                <c:v>2024 Feb</c:v>
              </c:pt>
              <c:pt idx="14">
                <c:v>2024 Mar</c:v>
              </c:pt>
              <c:pt idx="15">
                <c:v>2024 Apr</c:v>
              </c:pt>
              <c:pt idx="16">
                <c:v>2024 May</c:v>
              </c:pt>
              <c:pt idx="17">
                <c:v>2024 Jun</c:v>
              </c:pt>
              <c:pt idx="18">
                <c:v>2024 Jul</c:v>
              </c:pt>
              <c:pt idx="19">
                <c:v>2024 Aug</c:v>
              </c:pt>
              <c:pt idx="20">
                <c:v>2024 Sep</c:v>
              </c:pt>
              <c:pt idx="21">
                <c:v>2024 Oct</c:v>
              </c:pt>
              <c:pt idx="22">
                <c:v>2024 Nov</c:v>
              </c:pt>
              <c:pt idx="23">
                <c:v>2024 Dec</c:v>
              </c:pt>
            </c:strLit>
          </c:cat>
          <c:val>
            <c:numLit>
              <c:formatCode>General</c:formatCode>
              <c:ptCount val="24"/>
              <c:pt idx="0">
                <c:v>1801384715.0309963</c:v>
              </c:pt>
              <c:pt idx="1">
                <c:v>1575642149.9989979</c:v>
              </c:pt>
              <c:pt idx="2">
                <c:v>1758671710.6210008</c:v>
              </c:pt>
              <c:pt idx="3">
                <c:v>1678881544.3214998</c:v>
              </c:pt>
              <c:pt idx="4">
                <c:v>1710368975.0434961</c:v>
              </c:pt>
              <c:pt idx="5">
                <c:v>1673870640.2424979</c:v>
              </c:pt>
              <c:pt idx="6">
                <c:v>1769176660.3355019</c:v>
              </c:pt>
              <c:pt idx="7">
                <c:v>1801351298.6025016</c:v>
              </c:pt>
              <c:pt idx="8">
                <c:v>1685367934.4409974</c:v>
              </c:pt>
              <c:pt idx="9">
                <c:v>1779865892.374001</c:v>
              </c:pt>
              <c:pt idx="10">
                <c:v>1691083975.0590003</c:v>
              </c:pt>
              <c:pt idx="11">
                <c:v>1715440012.3034952</c:v>
              </c:pt>
              <c:pt idx="12">
                <c:v>1681103170.1814976</c:v>
              </c:pt>
              <c:pt idx="13">
                <c:v>1613559090.8514969</c:v>
              </c:pt>
              <c:pt idx="14">
                <c:v>1795331621.1899993</c:v>
              </c:pt>
              <c:pt idx="15">
                <c:v>1685703292.132998</c:v>
              </c:pt>
              <c:pt idx="16">
                <c:v>1737767801.577502</c:v>
              </c:pt>
              <c:pt idx="17">
                <c:v>1709368551.418498</c:v>
              </c:pt>
              <c:pt idx="18">
                <c:v>1708338121.448503</c:v>
              </c:pt>
              <c:pt idx="19">
                <c:v>1759781286.863003</c:v>
              </c:pt>
              <c:pt idx="20">
                <c:v>1647125006.9780014</c:v>
              </c:pt>
              <c:pt idx="21">
                <c:v>1700723169.0020022</c:v>
              </c:pt>
              <c:pt idx="22">
                <c:v>1692264697.7234969</c:v>
              </c:pt>
              <c:pt idx="23">
                <c:v>1761611547.0080011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51C-4CC5-B73E-357158FE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678880"/>
        <c:axId val="234676960"/>
      </c:lineChart>
      <c:catAx>
        <c:axId val="23467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rgbClr val="0070C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34676960"/>
        <c:crosses val="autoZero"/>
        <c:auto val="1"/>
        <c:lblAlgn val="ctr"/>
        <c:lblOffset val="100"/>
        <c:noMultiLvlLbl val="0"/>
      </c:catAx>
      <c:valAx>
        <c:axId val="2346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70C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346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rgbClr val="0070C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Segmentation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1F-4B4A-99B4-81E541F48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1F-4B4A-99B4-81E541F48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1F-4B4A-99B4-81E541F48A0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High Performer</c:v>
              </c:pt>
              <c:pt idx="1">
                <c:v>Low Performer</c:v>
              </c:pt>
              <c:pt idx="2">
                <c:v>Medium Performer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6-BB1F-4B4A-99B4-81E541F48A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AI-Based Sales Forecast (Python SARIMAX)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'[1]Python Forecast'!$A$2:$A$31</c:f>
              <c:numCache>
                <c:formatCode>m/d/yyyy</c:formatCode>
                <c:ptCount val="3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</c:numCache>
            </c:numRef>
          </c:cat>
          <c:val>
            <c:numRef>
              <c:f>'[1]Python Forecast'!$B$2:$B$31</c:f>
              <c:numCache>
                <c:formatCode>[$₹-4009]\ #,##0;[$₹-4009]\ \-#,##0</c:formatCode>
                <c:ptCount val="30"/>
                <c:pt idx="0">
                  <c:v>57573176.339855433</c:v>
                </c:pt>
                <c:pt idx="1">
                  <c:v>56017070.868577801</c:v>
                </c:pt>
                <c:pt idx="2">
                  <c:v>55715479.056496039</c:v>
                </c:pt>
                <c:pt idx="3">
                  <c:v>58901452.831254959</c:v>
                </c:pt>
                <c:pt idx="4">
                  <c:v>56788149.450109877</c:v>
                </c:pt>
                <c:pt idx="5">
                  <c:v>57394346.503221191</c:v>
                </c:pt>
                <c:pt idx="6">
                  <c:v>57888321.265286602</c:v>
                </c:pt>
                <c:pt idx="7">
                  <c:v>57707191.589023396</c:v>
                </c:pt>
                <c:pt idx="8">
                  <c:v>56569562.798936278</c:v>
                </c:pt>
                <c:pt idx="9">
                  <c:v>56228794.00130076</c:v>
                </c:pt>
                <c:pt idx="10">
                  <c:v>59246921.769297637</c:v>
                </c:pt>
                <c:pt idx="11">
                  <c:v>57254637.800033152</c:v>
                </c:pt>
                <c:pt idx="12">
                  <c:v>57528518.916703999</c:v>
                </c:pt>
                <c:pt idx="13">
                  <c:v>57890245.335608371</c:v>
                </c:pt>
                <c:pt idx="14">
                  <c:v>57924788.98118832</c:v>
                </c:pt>
                <c:pt idx="15">
                  <c:v>56821995.217538767</c:v>
                </c:pt>
                <c:pt idx="16">
                  <c:v>56477965.231438473</c:v>
                </c:pt>
                <c:pt idx="17">
                  <c:v>59482121.085760847</c:v>
                </c:pt>
                <c:pt idx="18">
                  <c:v>57499911.069451123</c:v>
                </c:pt>
                <c:pt idx="19">
                  <c:v>57746129.391717337</c:v>
                </c:pt>
                <c:pt idx="20">
                  <c:v>58096847.133859463</c:v>
                </c:pt>
                <c:pt idx="21">
                  <c:v>58149343.956240423</c:v>
                </c:pt>
                <c:pt idx="22">
                  <c:v>57049449.945713602</c:v>
                </c:pt>
                <c:pt idx="23">
                  <c:v>56705148.490279078</c:v>
                </c:pt>
                <c:pt idx="24">
                  <c:v>59708141.288205318</c:v>
                </c:pt>
                <c:pt idx="25">
                  <c:v>57726769.852471687</c:v>
                </c:pt>
                <c:pt idx="26">
                  <c:v>57970685.455817878</c:v>
                </c:pt>
                <c:pt idx="27">
                  <c:v>58320486.808679357</c:v>
                </c:pt>
                <c:pt idx="28">
                  <c:v>58374478.097573347</c:v>
                </c:pt>
                <c:pt idx="29">
                  <c:v>57274825.469615526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0-492A-B8A0-5B69E17E2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697248"/>
        <c:axId val="1791719328"/>
      </c:lineChart>
      <c:dateAx>
        <c:axId val="1791697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19328"/>
        <c:crosses val="autoZero"/>
        <c:auto val="1"/>
        <c:lblOffset val="100"/>
        <c:baseTimeUnit val="days"/>
      </c:dateAx>
      <c:valAx>
        <c:axId val="17917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;[$₹-4009]\ 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9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75801</xdr:rowOff>
    </xdr:from>
    <xdr:to>
      <xdr:col>4</xdr:col>
      <xdr:colOff>2337954</xdr:colOff>
      <xdr:row>48</xdr:row>
      <xdr:rowOff>81643</xdr:rowOff>
    </xdr:to>
    <xdr:graphicFrame macro="">
      <xdr:nvGraphicFramePr>
        <xdr:cNvPr id="2" name="Top Performing Stores">
          <a:extLst>
            <a:ext uri="{FF2B5EF4-FFF2-40B4-BE49-F238E27FC236}">
              <a16:creationId xmlns:a16="http://schemas.microsoft.com/office/drawing/2014/main" id="{F6133854-0930-4AAA-9CAB-314336EAB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612320</xdr:colOff>
      <xdr:row>27</xdr:row>
      <xdr:rowOff>46424</xdr:rowOff>
    </xdr:from>
    <xdr:to>
      <xdr:col>22</xdr:col>
      <xdr:colOff>13605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09374E-1508-43D6-8F6A-B8C80DAA0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2597727</xdr:colOff>
      <xdr:row>27</xdr:row>
      <xdr:rowOff>47466</xdr:rowOff>
    </xdr:from>
    <xdr:to>
      <xdr:col>15</xdr:col>
      <xdr:colOff>476251</xdr:colOff>
      <xdr:row>48</xdr:row>
      <xdr:rowOff>68036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7898BA-6259-4CD4-88B4-D6810AA1D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3</xdr:row>
      <xdr:rowOff>0</xdr:rowOff>
    </xdr:from>
    <xdr:to>
      <xdr:col>21</xdr:col>
      <xdr:colOff>593912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8FF2FE-1442-4121-8293-BF8462191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38</xdr:row>
      <xdr:rowOff>95249</xdr:rowOff>
    </xdr:from>
    <xdr:to>
      <xdr:col>22</xdr:col>
      <xdr:colOff>27215</xdr:colOff>
      <xdr:row>48</xdr:row>
      <xdr:rowOff>27214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574045-9919-424E-9E5D-4B87216AE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49</xdr:row>
      <xdr:rowOff>190499</xdr:rowOff>
    </xdr:from>
    <xdr:to>
      <xdr:col>22</xdr:col>
      <xdr:colOff>81642</xdr:colOff>
      <xdr:row>65</xdr:row>
      <xdr:rowOff>103908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B2314B-612B-495C-930C-A66D7E2E8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UNLOX\Retail%20Analytics%20&amp;%20AI-Powered%20Sales%20Forecasting%20System\Retail_Sales_Data.xlsx" TargetMode="External"/><Relationship Id="rId1" Type="http://schemas.openxmlformats.org/officeDocument/2006/relationships/externalLinkPath" Target="/Users/Administrator/UNLOX/Retail%20Analytics%20&amp;%20AI-Powered%20Sales%20Forecasting%20System/Retail_Sale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ail_Sales_Data"/>
      <sheetName val="Store_Analysis"/>
      <sheetName val="Category_Analysis"/>
      <sheetName val="Time_Analysis"/>
      <sheetName val="Python Clusters"/>
      <sheetName val="Python Forecast"/>
      <sheetName val="Dashboard"/>
    </sheetNames>
    <sheetDataSet>
      <sheetData sheetId="0"/>
      <sheetData sheetId="1">
        <row r="16">
          <cell r="A16" t="str">
            <v>High Performer</v>
          </cell>
          <cell r="B16">
            <v>15521889350.432459</v>
          </cell>
        </row>
        <row r="17">
          <cell r="A17" t="str">
            <v>Medium Performer</v>
          </cell>
          <cell r="B17">
            <v>15435668461.280998</v>
          </cell>
        </row>
        <row r="18">
          <cell r="A18" t="str">
            <v>Low Perfomer</v>
          </cell>
          <cell r="B18">
            <v>10119098266.947018</v>
          </cell>
        </row>
      </sheetData>
      <sheetData sheetId="2"/>
      <sheetData sheetId="3"/>
      <sheetData sheetId="4"/>
      <sheetData sheetId="5">
        <row r="2">
          <cell r="A2">
            <v>45658</v>
          </cell>
          <cell r="B2">
            <v>57573176.339855433</v>
          </cell>
        </row>
        <row r="3">
          <cell r="A3">
            <v>45659</v>
          </cell>
          <cell r="B3">
            <v>56017070.868577801</v>
          </cell>
        </row>
        <row r="4">
          <cell r="A4">
            <v>45660</v>
          </cell>
          <cell r="B4">
            <v>55715479.056496039</v>
          </cell>
        </row>
        <row r="5">
          <cell r="A5">
            <v>45661</v>
          </cell>
          <cell r="B5">
            <v>58901452.831254959</v>
          </cell>
        </row>
        <row r="6">
          <cell r="A6">
            <v>45662</v>
          </cell>
          <cell r="B6">
            <v>56788149.450109877</v>
          </cell>
        </row>
        <row r="7">
          <cell r="A7">
            <v>45663</v>
          </cell>
          <cell r="B7">
            <v>57394346.503221191</v>
          </cell>
        </row>
        <row r="8">
          <cell r="A8">
            <v>45664</v>
          </cell>
          <cell r="B8">
            <v>57888321.265286602</v>
          </cell>
        </row>
        <row r="9">
          <cell r="A9">
            <v>45665</v>
          </cell>
          <cell r="B9">
            <v>57707191.589023396</v>
          </cell>
        </row>
        <row r="10">
          <cell r="A10">
            <v>45666</v>
          </cell>
          <cell r="B10">
            <v>56569562.798936278</v>
          </cell>
        </row>
        <row r="11">
          <cell r="A11">
            <v>45667</v>
          </cell>
          <cell r="B11">
            <v>56228794.00130076</v>
          </cell>
        </row>
        <row r="12">
          <cell r="A12">
            <v>45668</v>
          </cell>
          <cell r="B12">
            <v>59246921.769297637</v>
          </cell>
        </row>
        <row r="13">
          <cell r="A13">
            <v>45669</v>
          </cell>
          <cell r="B13">
            <v>57254637.800033152</v>
          </cell>
        </row>
        <row r="14">
          <cell r="A14">
            <v>45670</v>
          </cell>
          <cell r="B14">
            <v>57528518.916703999</v>
          </cell>
        </row>
        <row r="15">
          <cell r="A15">
            <v>45671</v>
          </cell>
          <cell r="B15">
            <v>57890245.335608371</v>
          </cell>
        </row>
        <row r="16">
          <cell r="A16">
            <v>45672</v>
          </cell>
          <cell r="B16">
            <v>57924788.98118832</v>
          </cell>
        </row>
        <row r="17">
          <cell r="A17">
            <v>45673</v>
          </cell>
          <cell r="B17">
            <v>56821995.217538767</v>
          </cell>
        </row>
        <row r="18">
          <cell r="A18">
            <v>45674</v>
          </cell>
          <cell r="B18">
            <v>56477965.231438473</v>
          </cell>
        </row>
        <row r="19">
          <cell r="A19">
            <v>45675</v>
          </cell>
          <cell r="B19">
            <v>59482121.085760847</v>
          </cell>
        </row>
        <row r="20">
          <cell r="A20">
            <v>45676</v>
          </cell>
          <cell r="B20">
            <v>57499911.069451123</v>
          </cell>
        </row>
        <row r="21">
          <cell r="A21">
            <v>45677</v>
          </cell>
          <cell r="B21">
            <v>57746129.391717337</v>
          </cell>
        </row>
        <row r="22">
          <cell r="A22">
            <v>45678</v>
          </cell>
          <cell r="B22">
            <v>58096847.133859463</v>
          </cell>
        </row>
        <row r="23">
          <cell r="A23">
            <v>45679</v>
          </cell>
          <cell r="B23">
            <v>58149343.956240423</v>
          </cell>
        </row>
        <row r="24">
          <cell r="A24">
            <v>45680</v>
          </cell>
          <cell r="B24">
            <v>57049449.945713602</v>
          </cell>
        </row>
        <row r="25">
          <cell r="A25">
            <v>45681</v>
          </cell>
          <cell r="B25">
            <v>56705148.490279078</v>
          </cell>
        </row>
        <row r="26">
          <cell r="A26">
            <v>45682</v>
          </cell>
          <cell r="B26">
            <v>59708141.288205318</v>
          </cell>
        </row>
        <row r="27">
          <cell r="A27">
            <v>45683</v>
          </cell>
          <cell r="B27">
            <v>57726769.852471687</v>
          </cell>
        </row>
        <row r="28">
          <cell r="A28">
            <v>45684</v>
          </cell>
          <cell r="B28">
            <v>57970685.455817878</v>
          </cell>
        </row>
        <row r="29">
          <cell r="A29">
            <v>45685</v>
          </cell>
          <cell r="B29">
            <v>58320486.808679357</v>
          </cell>
        </row>
        <row r="30">
          <cell r="A30">
            <v>45686</v>
          </cell>
          <cell r="B30">
            <v>58374478.097573347</v>
          </cell>
        </row>
        <row r="31">
          <cell r="A31">
            <v>45687</v>
          </cell>
          <cell r="B31">
            <v>57274825.469615526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7919-A7D8-4AFF-9F7B-B6BD1CDD29AC}">
  <dimension ref="A1:G11"/>
  <sheetViews>
    <sheetView showGridLines="0" tabSelected="1" zoomScale="55" zoomScaleNormal="55" workbookViewId="0">
      <selection activeCell="B1" sqref="B1"/>
    </sheetView>
  </sheetViews>
  <sheetFormatPr defaultRowHeight="15" x14ac:dyDescent="0.25"/>
  <cols>
    <col min="1" max="1" width="38.28515625" bestFit="1" customWidth="1"/>
    <col min="2" max="2" width="8.7109375" customWidth="1"/>
    <col min="3" max="3" width="36.5703125" bestFit="1" customWidth="1"/>
    <col min="4" max="4" width="8.7109375" customWidth="1"/>
    <col min="5" max="5" width="46" bestFit="1" customWidth="1"/>
    <col min="6" max="6" width="8.7109375" customWidth="1"/>
    <col min="7" max="7" width="40.42578125" bestFit="1" customWidth="1"/>
  </cols>
  <sheetData>
    <row r="1" spans="1:7" ht="34.5" x14ac:dyDescent="0.25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</row>
    <row r="2" spans="1:7" ht="34.5" x14ac:dyDescent="0.25">
      <c r="A2" s="3">
        <f>SUM([1]!Retail_Sales_Data[Revenue])</f>
        <v>41133782864.749062</v>
      </c>
      <c r="B2" s="2"/>
      <c r="C2" s="4">
        <f>SUM([1]!Retail_Sales_Data[Units_Sold])</f>
        <v>1817305</v>
      </c>
      <c r="D2" s="2"/>
      <c r="E2" s="5">
        <f>A2/C2</f>
        <v>22634.496061337562</v>
      </c>
      <c r="F2" s="2"/>
      <c r="G2" s="6">
        <f>COUNTA(_xlfn.UNIQUE([1]!Retail_Sales_Data[Store_ID]))</f>
        <v>8</v>
      </c>
    </row>
    <row r="11" spans="1:7" x14ac:dyDescent="0.25">
      <c r="A11" s="7"/>
      <c r="B11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R Desai</dc:creator>
  <cp:lastModifiedBy>Shashank R Desai</cp:lastModifiedBy>
  <dcterms:created xsi:type="dcterms:W3CDTF">2026-01-03T14:56:27Z</dcterms:created>
  <dcterms:modified xsi:type="dcterms:W3CDTF">2026-01-03T14:56:44Z</dcterms:modified>
</cp:coreProperties>
</file>